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firstSheet="6" activeTab="6"/>
  </bookViews>
  <sheets>
    <sheet name="DATA DICTIONARY" sheetId="12" r:id="rId1"/>
    <sheet name="FACULTIES" sheetId="1" r:id="rId2"/>
    <sheet name="PROGRAMS" sheetId="2" r:id="rId3"/>
    <sheet name="ROLES" sheetId="3" r:id="rId4"/>
    <sheet name="USERS" sheetId="4" r:id="rId5"/>
    <sheet name="COURSES" sheetId="5" r:id="rId6"/>
    <sheet name="BUILDINGS" sheetId="6" r:id="rId7"/>
    <sheet name="CLASSROOMS" sheetId="7" r:id="rId8"/>
    <sheet name="SCHEDULE" sheetId="8" r:id="rId9"/>
    <sheet name="COURSE_CALENDAR" sheetId="9" r:id="rId10"/>
    <sheet name="COURSES_STUDENTS" sheetId="13" r:id="rId11"/>
    <sheet name="COURSES_PROGRAMS" sheetId="10" r:id="rId12"/>
    <sheet name="PROGRAMS_STUDENTS" sheetId="11"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<sst xmlns="http://schemas.openxmlformats.org/spreadsheetml/2006/main" count="300" uniqueCount="121">
  <si>
    <t>Sistema de Universidad</t>
  </si>
  <si>
    <t>Catalogo de Datos - Informacion General</t>
  </si>
  <si>
    <t>Descripción</t>
  </si>
  <si>
    <t>Este catálogo de datos detalla la estructura de la base de datos relacional diseñada para gestionar la información de una universidad, incluyendo facultades, programas, edificios, salones, usuarios y más. El diseño sigue las normas de normalización hasta la Cuarta Forma Normal (4FN) para garantizar la integridad y optimización de los datos.</t>
  </si>
  <si>
    <t>Propósito</t>
  </si>
  <si>
    <t>Facilitar el almacenamiento, la organización y el acceso eficiente a la información sobre la universidad, permitiendo realizar consultas detalladas sobre facultades, sus programas, edificios, sus salones, usuarios, los cursos, cursos de los estudiantes, los cursos de los programas, calendario de los cursos,horarios,los programas que ven los estudiante y los roles.</t>
  </si>
  <si>
    <t>Fecha de Creación</t>
  </si>
  <si>
    <t>11 de mayo del 2026</t>
  </si>
  <si>
    <t>Creado por</t>
  </si>
  <si>
    <t>Juan Manuel Carvajal Bateca</t>
  </si>
  <si>
    <t>Última Actualización</t>
  </si>
  <si>
    <t>Versión</t>
  </si>
  <si>
    <t>1.0</t>
  </si>
  <si>
    <t>Estructura de la Base de Datos</t>
  </si>
  <si>
    <t>Tablas Principales</t>
  </si>
  <si>
    <t>Representan las entidades claves del sistema como USERS, PROGRAMS, COURSES, CLASSROOMS y COURSE_CALENDAR. Cada tabla tiene un identificador único para asegurar la integridad.</t>
  </si>
  <si>
    <t>Tablas de Referencia</t>
  </si>
  <si>
    <t>Tablas auxiliares como FACULTIES, ROLES, BUILDINGS, SCHEDULE, que ofrecen contexto adicional para otras tablas.</t>
  </si>
  <si>
    <t>Tabla Intermedia</t>
  </si>
  <si>
    <t>La tabla PROGRAMS_STUDENTS, que actúa como intermediaria para capturar relaciones de muchos a muchos entre USERS y PROGRAMS, la tabla COURSES_PROGRAMS, que actúa como intermediaria entre COURSES y PROGRAMS,y la tabla COURSES_STUDENTS, que actúa de intermediaria entre COURSES y USERS.</t>
  </si>
  <si>
    <t xml:space="preserve">Relaciones	</t>
  </si>
  <si>
    <t>Las claves foráneas en cada tabla definen las relaciones entre entidades, garantizando la integridad referencial y minimizando redundancias.</t>
  </si>
  <si>
    <t>Data Mapping - Catalogo</t>
  </si>
  <si>
    <t>Tabla</t>
  </si>
  <si>
    <t>Descripcion</t>
  </si>
  <si>
    <t>Hipervinculo</t>
  </si>
  <si>
    <t>FACULTIES</t>
  </si>
  <si>
    <t>Almacena información sobre las facultades de la universidad, incluyendo su nombre.</t>
  </si>
  <si>
    <t>PROGRAMS</t>
  </si>
  <si>
    <t>Almacena los datos de los programas, incluyendo su nombre y el id de faculties (quiere decir registra la facultad a la que pertenece).</t>
  </si>
  <si>
    <t>ROLES</t>
  </si>
  <si>
    <t>Registra el rol del usuario , incluyendo el nombre.</t>
  </si>
  <si>
    <t>USERS</t>
  </si>
  <si>
    <t>Registra información del usuario, incluyendo nombre, apellido, semestre y id del rol(rol que cumpe el usuario).</t>
  </si>
  <si>
    <t>COURSES</t>
  </si>
  <si>
    <t>Registra los cursos , incluyendo el nombre y el id de la facultad(facultad en donde se dicta el curso).</t>
  </si>
  <si>
    <t>BUILDINGS</t>
  </si>
  <si>
    <t>Almacena los edificios , incluyendo el nombre.</t>
  </si>
  <si>
    <t>CLASSROOMS</t>
  </si>
  <si>
    <t>Almacena información sobre los salones, incluyendo su nombre y el id de edificios(edificio al que pertenece).</t>
  </si>
  <si>
    <t>SCHEDULE</t>
  </si>
  <si>
    <t>Contiene información sobre los horaios, incluyendo la fecha de inicio, fecha final y dia.</t>
  </si>
  <si>
    <t>COURSE_CALENDAR</t>
  </si>
  <si>
    <t>Contiene información de los horarios de los cursos, incluyendo cupos, el id del salon(salon donde se puede ver este curso), el id del curso(curso que se va a realizar) y el id del horario.</t>
  </si>
  <si>
    <t>COURSES_STUDENTS</t>
  </si>
  <si>
    <t xml:space="preserve">Actua como tabla intermedia para registrar los estudiantes en distintos cursos, asi ver que estudiante cursa cierto curso. </t>
  </si>
  <si>
    <t>COURSES_PROGRAMS</t>
  </si>
  <si>
    <t>Cumple la función de tabla inermedia la cual registra los cursos en los diferentes programas , incluyendo el semestre</t>
  </si>
  <si>
    <t>PROGRAMS_STUDENTS</t>
  </si>
  <si>
    <t>Actúa como una tabla intermedia para registrar las estudiantes en los diferentes programas.</t>
  </si>
  <si>
    <t>Notas Importantes</t>
  </si>
  <si>
    <r>
      <rPr>
        <b/>
        <sz val="12"/>
        <color theme="1"/>
        <rFont val="Arial"/>
        <charset val="134"/>
      </rPr>
      <t>1. Tamaño de los Campos</t>
    </r>
    <r>
      <rPr>
        <sz val="12"/>
        <color theme="1"/>
        <rFont val="Arial"/>
        <charset val="134"/>
      </rPr>
      <t>: Los tamaños de los campos se definieron basados en un análisis de necesidades y limitaciones prácticas. Ejemplo: los nombres tienen un tamaño máximo de 50 caracteres para capturar nombres completos sin desperdiciar espacio.</t>
    </r>
  </si>
  <si>
    <r>
      <rPr>
        <b/>
        <sz val="12"/>
        <color theme="1"/>
        <rFont val="Arial"/>
        <charset val="134"/>
      </rPr>
      <t>2. Estandarización de Nombres</t>
    </r>
    <r>
      <rPr>
        <sz val="12"/>
        <color theme="1"/>
        <rFont val="Arial"/>
        <charset val="134"/>
      </rPr>
      <t>: Se utilizaron nombres en español para todas las tablas y campos, de acuerdo con el contexto del zoológico.</t>
    </r>
  </si>
  <si>
    <r>
      <rPr>
        <b/>
        <sz val="12"/>
        <color theme="1"/>
        <rFont val="Arial"/>
        <charset val="134"/>
      </rPr>
      <t>3. Manejo de Datos</t>
    </r>
    <r>
      <rPr>
        <sz val="12"/>
        <color theme="1"/>
        <rFont val="Arial"/>
        <charset val="134"/>
      </rPr>
      <t>: Los datos sensibles, como la información de visitantes, se estructuran para mantener privacidad y precisión en las visitas registradas.</t>
    </r>
  </si>
  <si>
    <r>
      <rPr>
        <b/>
        <sz val="12"/>
        <color theme="1"/>
        <rFont val="Arial"/>
        <charset val="134"/>
      </rPr>
      <t>4. Normalizado</t>
    </r>
    <r>
      <rPr>
        <sz val="12"/>
        <color theme="1"/>
        <rFont val="Arial"/>
        <charset val="134"/>
      </rPr>
      <t>: El modelo se encuentra normalizado hasta la forma 4FN.</t>
    </r>
  </si>
  <si>
    <t>Campo</t>
  </si>
  <si>
    <t>Tipo de Dato</t>
  </si>
  <si>
    <t>Tamaño</t>
  </si>
  <si>
    <t>Restriccion</t>
  </si>
  <si>
    <t>ID</t>
  </si>
  <si>
    <t>SERIAL</t>
  </si>
  <si>
    <t>-</t>
  </si>
  <si>
    <t>PK</t>
  </si>
  <si>
    <t>Identificador único de cada facultad</t>
  </si>
  <si>
    <t>Name</t>
  </si>
  <si>
    <t>VARCHAR</t>
  </si>
  <si>
    <t>NOT NULL</t>
  </si>
  <si>
    <t>Nombre de la facultad</t>
  </si>
  <si>
    <t>Identificador único de cada programa</t>
  </si>
  <si>
    <t>Nombre del programa</t>
  </si>
  <si>
    <t>ID_faculty</t>
  </si>
  <si>
    <t>FK</t>
  </si>
  <si>
    <t>Identificador de la facultad del programa</t>
  </si>
  <si>
    <t>Identificador único del rol</t>
  </si>
  <si>
    <t>Nombre del rol</t>
  </si>
  <si>
    <t>Identificador único del usuario</t>
  </si>
  <si>
    <t>Nombre del ususario</t>
  </si>
  <si>
    <t>Last_name</t>
  </si>
  <si>
    <t>Apellido del usuario</t>
  </si>
  <si>
    <t>Semester</t>
  </si>
  <si>
    <t>INT</t>
  </si>
  <si>
    <t>Semestre actual del usuario</t>
  </si>
  <si>
    <t>ID_rol</t>
  </si>
  <si>
    <t>Identificador del rol del estudiante</t>
  </si>
  <si>
    <t>Identificador único del curso</t>
  </si>
  <si>
    <t>Nombre del curso</t>
  </si>
  <si>
    <t>Identificador de la facultad donde se dictara el curso</t>
  </si>
  <si>
    <t>Identificador único del edificio</t>
  </si>
  <si>
    <t>Nombre del edificio</t>
  </si>
  <si>
    <t>Identificador único del salón</t>
  </si>
  <si>
    <t>Nombre del salon</t>
  </si>
  <si>
    <t>ID_building</t>
  </si>
  <si>
    <t>Identificador del edificio donde se encuentra el salon</t>
  </si>
  <si>
    <t>Identificador único del horario</t>
  </si>
  <si>
    <t>Start_time</t>
  </si>
  <si>
    <t>Hora de inicio de clase</t>
  </si>
  <si>
    <t>End_time</t>
  </si>
  <si>
    <t>Hora de final de clase</t>
  </si>
  <si>
    <t>Day</t>
  </si>
  <si>
    <t>Día que se dicta la clase</t>
  </si>
  <si>
    <t>Identificador único del horario del curso</t>
  </si>
  <si>
    <t>Quota</t>
  </si>
  <si>
    <t>Número máximo de estudiantes permitidos en el curso para este horario</t>
  </si>
  <si>
    <t>ID_classroom</t>
  </si>
  <si>
    <t>Identificador del salón donde sera el curso</t>
  </si>
  <si>
    <t>ID_course</t>
  </si>
  <si>
    <t>Identificador del curso que sera dictado</t>
  </si>
  <si>
    <t>ID_schedule</t>
  </si>
  <si>
    <t>Identificador del horario asignado</t>
  </si>
  <si>
    <t>Identificador único de la tabla intermedia de curso y estudiante</t>
  </si>
  <si>
    <t>ID_course_calendar</t>
  </si>
  <si>
    <t>Identificador del horario del curso</t>
  </si>
  <si>
    <t>ID_user</t>
  </si>
  <si>
    <t xml:space="preserve">Identificador del usuario </t>
  </si>
  <si>
    <t>Identificador único de la tabla intermedia de cursos y programas</t>
  </si>
  <si>
    <t>Semestre del programa academico en que se dicta el curso</t>
  </si>
  <si>
    <t>Identificador del curso</t>
  </si>
  <si>
    <t>ID_program</t>
  </si>
  <si>
    <t>Identificador del programa</t>
  </si>
  <si>
    <t>Identificador único de la tabla intermedia programas y estudiantes</t>
  </si>
  <si>
    <t>Identificador del usuario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</si>
</sst>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sz val="11"/>
      <color theme="0"/>
      <name val="Calibri"/>
      <charset val="134"/>
      <scheme val="minor"/>
    </font>
    <font>
      <sz val="11"/>
      <color theme="1"/>
      <name val="Arial Narrow"/>
      <charset val="134"/>
    </font>
    <font>
      <b/>
      <sz val="11"/>
      <color theme="1"/>
      <name val="Arial Narrow"/>
      <charset val="134"/>
    </font>
    <font>
      <u/>
      <sz val="11"/>
      <color theme="1"/>
      <name val="Calibri"/>
      <charset val="134"/>
      <scheme val="minor"/>
    </font>
    <font>
      <sz val="26"/>
      <color theme="0"/>
      <name val="Arial Narrow"/>
      <charset val="134"/>
    </font>
    <font>
      <sz val="26"/>
      <color theme="1"/>
      <name val="Arial Narrow"/>
      <charset val="134"/>
    </font>
    <font>
      <sz val="18"/>
      <color theme="0"/>
      <name val="Arial Narrow"/>
      <charset val="134"/>
    </font>
    <font>
      <sz val="11"/>
      <color theme="1"/>
      <name val="Arial"/>
      <charset val="134"/>
    </font>
    <font>
      <b/>
      <sz val="14"/>
      <color theme="1"/>
      <name val="Arial Narrow"/>
      <charset val="134"/>
    </font>
    <font>
      <b/>
      <sz val="11"/>
      <color theme="1"/>
      <name val="Calibri"/>
      <charset val="134"/>
      <scheme val="minor"/>
    </font>
    <font>
      <u/>
      <sz val="11"/>
      <color rgb="FF800080"/>
      <name val="Calibri"/>
      <charset val="134"/>
      <scheme val="minor"/>
    </font>
    <font>
      <b/>
      <sz val="13.5"/>
      <color theme="1"/>
      <name val="Arial Narrow"/>
      <charset val="134"/>
    </font>
    <font>
      <b/>
      <sz val="12"/>
      <color theme="1"/>
      <name val="Arial"/>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Arial"/>
      <charset val="134"/>
    </font>
  </fonts>
  <fills count="40">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7" tint="0.599993896298105"/>
        <bgColor indexed="64"/>
      </patternFill>
    </fill>
    <fill>
      <patternFill patternType="solid">
        <fgColor theme="0"/>
        <bgColor indexed="64"/>
      </patternFill>
    </fill>
    <fill>
      <patternFill patternType="solid">
        <fgColor rgb="FF002060"/>
        <bgColor indexed="64"/>
      </patternFill>
    </fill>
    <fill>
      <patternFill patternType="solid">
        <fgColor theme="3"/>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xf numFmtId="0" fontId="16" fillId="0" borderId="0" applyNumberFormat="0" applyFill="0" applyBorder="0" applyAlignment="0" applyProtection="0">
      <alignment vertical="center"/>
    </xf>
    <xf numFmtId="0" fontId="14" fillId="9"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10" borderId="5" applyNumberFormat="0" applyAlignment="0" applyProtection="0">
      <alignment vertical="center"/>
    </xf>
    <xf numFmtId="0" fontId="24" fillId="11" borderId="6" applyNumberFormat="0" applyAlignment="0" applyProtection="0">
      <alignment vertical="center"/>
    </xf>
    <xf numFmtId="0" fontId="25" fillId="11" borderId="5" applyNumberFormat="0" applyAlignment="0" applyProtection="0">
      <alignment vertical="center"/>
    </xf>
    <xf numFmtId="0" fontId="26" fillId="12"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cellStyleXfs>
  <cellXfs count="23">
    <xf numFmtId="0" fontId="0" fillId="0" borderId="0" xfId="0"/>
    <xf numFmtId="0" fontId="1" fillId="2" borderId="1" xfId="0" applyFont="1" applyFill="1" applyBorder="1" applyAlignment="1">
      <alignment horizontal="center" vertical="top"/>
    </xf>
    <xf numFmtId="0" fontId="2" fillId="3" borderId="1" xfId="0" applyFont="1" applyFill="1" applyBorder="1"/>
    <xf numFmtId="0" fontId="3" fillId="3" borderId="1" xfId="0" applyFont="1" applyFill="1" applyBorder="1"/>
    <xf numFmtId="0" fontId="2" fillId="4" borderId="1" xfId="0" applyFont="1" applyFill="1" applyBorder="1"/>
    <xf numFmtId="0" fontId="3" fillId="4" borderId="1" xfId="0" applyFont="1" applyFill="1" applyBorder="1"/>
    <xf numFmtId="0" fontId="2" fillId="5" borderId="1" xfId="0" applyFont="1" applyFill="1" applyBorder="1"/>
    <xf numFmtId="0" fontId="3" fillId="5" borderId="1" xfId="0" applyFont="1" applyFill="1" applyBorder="1"/>
    <xf numFmtId="0" fontId="4" fillId="0" borderId="0" xfId="0" applyFont="1"/>
    <xf numFmtId="0" fontId="5" fillId="6" borderId="0" xfId="0" applyFont="1" applyFill="1" applyBorder="1" applyAlignment="1">
      <alignment horizontal="center"/>
    </xf>
    <xf numFmtId="0" fontId="6" fillId="6" borderId="0" xfId="0" applyFont="1" applyFill="1" applyBorder="1" applyAlignment="1">
      <alignment horizontal="center"/>
    </xf>
    <xf numFmtId="0" fontId="7" fillId="7" borderId="1" xfId="0" applyFont="1" applyFill="1" applyBorder="1" applyAlignment="1">
      <alignment horizontal="center"/>
    </xf>
    <xf numFmtId="0" fontId="3" fillId="0" borderId="1" xfId="0" applyFont="1" applyBorder="1" applyAlignment="1">
      <alignment vertical="center" wrapText="1"/>
    </xf>
    <xf numFmtId="0" fontId="8" fillId="0" borderId="1" xfId="0" applyFont="1" applyBorder="1" applyAlignment="1">
      <alignment horizontal="left" wrapText="1"/>
    </xf>
    <xf numFmtId="0" fontId="8" fillId="0" borderId="1" xfId="0" applyFont="1" applyBorder="1" applyAlignment="1">
      <alignment horizontal="left" vertical="center" wrapText="1"/>
    </xf>
    <xf numFmtId="0" fontId="9" fillId="8" borderId="1" xfId="0" applyFont="1" applyFill="1" applyBorder="1" applyAlignment="1">
      <alignment vertical="center" wrapText="1"/>
    </xf>
    <xf numFmtId="0" fontId="9" fillId="8"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0" borderId="1" xfId="6" applyFont="1" applyBorder="1" applyAlignment="1">
      <alignment horizontal="center" vertical="center" wrapText="1"/>
    </xf>
    <xf numFmtId="0" fontId="11" fillId="0" borderId="1" xfId="6" applyFont="1" applyBorder="1" applyAlignment="1">
      <alignment horizontal="center" vertical="center" wrapText="1"/>
    </xf>
    <xf numFmtId="0" fontId="12" fillId="3" borderId="0" xfId="0" applyFont="1" applyFill="1" applyAlignment="1">
      <alignment horizontal="left" vertical="center"/>
    </xf>
    <xf numFmtId="0" fontId="0" fillId="0" borderId="0" xfId="0" applyAlignment="1">
      <alignment horizontal="left" vertical="center" indent="1"/>
    </xf>
    <xf numFmtId="0" fontId="13" fillId="0" borderId="0" xfId="0" applyFont="1" applyAlignment="1">
      <alignment horizontal="left" vertical="center" inden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3</xdr:row>
      <xdr:rowOff>0</xdr:rowOff>
    </xdr:from>
    <xdr:to>
      <xdr:col>9</xdr:col>
      <xdr:colOff>304800</xdr:colOff>
      <xdr:row>3</xdr:row>
      <xdr:rowOff>304800</xdr:rowOff>
    </xdr:to>
    <xdr:sp>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xdr:cNvSpPr>
          <a:spLocks noChangeAspect="1" noChangeArrowheads="1"/>
        </xdr:cNvSpPr>
      </xdr:nvSpPr>
      <xdr:spPr>
        <a:xfrm>
          <a:off x="7934325" y="153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zoomScale="116" zoomScaleNormal="116" topLeftCell="A24" workbookViewId="0">
      <selection activeCell="F27" sqref="F27:H27"/>
    </sheetView>
  </sheetViews>
  <sheetFormatPr defaultColWidth="11.4259259259259" defaultRowHeight="14.4" outlineLevelCol="7"/>
  <cols>
    <col min="1" max="1" width="24.1388888888889" customWidth="1"/>
    <col min="2" max="2" width="11.5740740740741" customWidth="1"/>
  </cols>
  <sheetData>
    <row r="1" ht="32.4" spans="1:8">
      <c r="A1" s="9" t="s">
        <v>0</v>
      </c>
      <c r="B1" s="10"/>
      <c r="C1" s="10"/>
      <c r="D1" s="10"/>
      <c r="E1" s="10"/>
      <c r="F1" s="10"/>
      <c r="G1" s="10"/>
      <c r="H1" s="10"/>
    </row>
    <row r="2" ht="23.4" spans="1:8">
      <c r="A2" s="11" t="s">
        <v>1</v>
      </c>
      <c r="B2" s="11"/>
      <c r="C2" s="11"/>
      <c r="D2" s="11"/>
      <c r="E2" s="11"/>
      <c r="F2" s="11"/>
      <c r="G2" s="11"/>
      <c r="H2" s="11"/>
    </row>
    <row r="3" ht="65.45" customHeight="1" spans="1:8">
      <c r="A3" s="12" t="s">
        <v>2</v>
      </c>
      <c r="B3" s="13" t="s">
        <v>3</v>
      </c>
      <c r="C3" s="13"/>
      <c r="D3" s="13"/>
      <c r="E3" s="13"/>
      <c r="F3" s="13"/>
      <c r="G3" s="13"/>
      <c r="H3" s="13"/>
    </row>
    <row r="4" ht="71.45" customHeight="1" spans="1:8">
      <c r="A4" s="12" t="s">
        <v>4</v>
      </c>
      <c r="B4" s="14" t="s">
        <v>5</v>
      </c>
      <c r="C4" s="14"/>
      <c r="D4" s="14"/>
      <c r="E4" s="14"/>
      <c r="F4" s="14"/>
      <c r="G4" s="14"/>
      <c r="H4" s="14"/>
    </row>
    <row r="5" ht="33.6" customHeight="1" spans="1:8">
      <c r="A5" s="12" t="s">
        <v>6</v>
      </c>
      <c r="B5" s="14" t="s">
        <v>7</v>
      </c>
      <c r="C5" s="14"/>
      <c r="D5" s="14"/>
      <c r="E5" s="14"/>
      <c r="F5" s="14"/>
      <c r="G5" s="14"/>
      <c r="H5" s="14"/>
    </row>
    <row r="6" ht="28.15" customHeight="1" spans="1:8">
      <c r="A6" s="12" t="s">
        <v>8</v>
      </c>
      <c r="B6" s="14" t="s">
        <v>9</v>
      </c>
      <c r="C6" s="14"/>
      <c r="D6" s="14"/>
      <c r="E6" s="14"/>
      <c r="F6" s="14"/>
      <c r="G6" s="14"/>
      <c r="H6" s="14"/>
    </row>
    <row r="7" ht="38.45" customHeight="1" spans="1:8">
      <c r="A7" s="12" t="s">
        <v>10</v>
      </c>
      <c r="B7" s="14" t="s">
        <v>7</v>
      </c>
      <c r="C7" s="14"/>
      <c r="D7" s="14"/>
      <c r="E7" s="14"/>
      <c r="F7" s="14"/>
      <c r="G7" s="14"/>
      <c r="H7" s="14"/>
    </row>
    <row r="8" spans="1:8">
      <c r="A8" s="12" t="s">
        <v>11</v>
      </c>
      <c r="B8" s="14" t="s">
        <v>12</v>
      </c>
      <c r="C8" s="14"/>
      <c r="D8" s="14"/>
      <c r="E8" s="14"/>
      <c r="F8" s="14"/>
      <c r="G8" s="14"/>
      <c r="H8" s="14"/>
    </row>
    <row r="9" ht="23.4" spans="1:8">
      <c r="A9" s="11" t="s">
        <v>13</v>
      </c>
      <c r="B9" s="11"/>
      <c r="C9" s="11"/>
      <c r="D9" s="11"/>
      <c r="E9" s="11"/>
      <c r="F9" s="11"/>
      <c r="G9" s="11"/>
      <c r="H9" s="11"/>
    </row>
    <row r="10" ht="48.6" customHeight="1" spans="1:8">
      <c r="A10" s="12" t="s">
        <v>14</v>
      </c>
      <c r="B10" s="13" t="s">
        <v>15</v>
      </c>
      <c r="C10" s="13"/>
      <c r="D10" s="13"/>
      <c r="E10" s="13"/>
      <c r="F10" s="13"/>
      <c r="G10" s="13"/>
      <c r="H10" s="13"/>
    </row>
    <row r="11" ht="30.6" customHeight="1" spans="1:8">
      <c r="A11" s="12" t="s">
        <v>16</v>
      </c>
      <c r="B11" s="14" t="s">
        <v>17</v>
      </c>
      <c r="C11" s="14"/>
      <c r="D11" s="14"/>
      <c r="E11" s="14"/>
      <c r="F11" s="14"/>
      <c r="G11" s="14"/>
      <c r="H11" s="14"/>
    </row>
    <row r="12" ht="84" customHeight="1" spans="1:8">
      <c r="A12" s="12" t="s">
        <v>18</v>
      </c>
      <c r="B12" s="14" t="s">
        <v>19</v>
      </c>
      <c r="C12" s="14"/>
      <c r="D12" s="14"/>
      <c r="E12" s="14"/>
      <c r="F12" s="14"/>
      <c r="G12" s="14"/>
      <c r="H12" s="14"/>
    </row>
    <row r="13" ht="34.15" customHeight="1" spans="1:8">
      <c r="A13" s="12" t="s">
        <v>20</v>
      </c>
      <c r="B13" s="14" t="s">
        <v>21</v>
      </c>
      <c r="C13" s="14"/>
      <c r="D13" s="14"/>
      <c r="E13" s="14"/>
      <c r="F13" s="14"/>
      <c r="G13" s="14"/>
      <c r="H13" s="14"/>
    </row>
    <row r="14" ht="23.4" spans="1:8">
      <c r="A14" s="11" t="s">
        <v>22</v>
      </c>
      <c r="B14" s="11"/>
      <c r="C14" s="11"/>
      <c r="D14" s="11"/>
      <c r="E14" s="11"/>
      <c r="F14" s="11"/>
      <c r="G14" s="11"/>
      <c r="H14" s="11"/>
    </row>
    <row r="15" ht="18" spans="1:8">
      <c r="A15" s="15" t="s">
        <v>23</v>
      </c>
      <c r="B15" s="16" t="s">
        <v>24</v>
      </c>
      <c r="C15" s="16"/>
      <c r="D15" s="16"/>
      <c r="E15" s="16"/>
      <c r="F15" s="16" t="s">
        <v>25</v>
      </c>
      <c r="G15" s="16"/>
      <c r="H15" s="16"/>
    </row>
    <row r="16" ht="79" customHeight="1" spans="1:8">
      <c r="A16" s="17" t="s">
        <v>26</v>
      </c>
      <c r="B16" s="14" t="s">
        <v>27</v>
      </c>
      <c r="C16" s="14"/>
      <c r="D16" s="14"/>
      <c r="E16" s="14"/>
      <c r="F16" s="18" t="str">
        <f>CONCATENATE(A16,"_LINK")</f>
        <v>FACULTIES_LINK</v>
      </c>
      <c r="G16" s="19"/>
      <c r="H16" s="19"/>
    </row>
    <row r="17" ht="57" customHeight="1" spans="1:8">
      <c r="A17" s="17" t="s">
        <v>28</v>
      </c>
      <c r="B17" s="14" t="s">
        <v>29</v>
      </c>
      <c r="C17" s="14"/>
      <c r="D17" s="14"/>
      <c r="E17" s="14"/>
      <c r="F17" s="18" t="str">
        <f t="shared" ref="F17:F27" si="0">CONCATENATE(A17,"_LINK")</f>
        <v>PROGRAMS_LINK</v>
      </c>
      <c r="G17" s="19"/>
      <c r="H17" s="19"/>
    </row>
    <row r="18" ht="45" customHeight="1" spans="1:8">
      <c r="A18" s="17" t="s">
        <v>30</v>
      </c>
      <c r="B18" s="14" t="s">
        <v>31</v>
      </c>
      <c r="C18" s="14"/>
      <c r="D18" s="14"/>
      <c r="E18" s="14"/>
      <c r="F18" s="18" t="str">
        <f t="shared" si="0"/>
        <v>ROLES_LINK</v>
      </c>
      <c r="G18" s="19"/>
      <c r="H18" s="19"/>
    </row>
    <row r="19" ht="69" customHeight="1" spans="1:8">
      <c r="A19" s="17" t="s">
        <v>32</v>
      </c>
      <c r="B19" s="14" t="s">
        <v>33</v>
      </c>
      <c r="C19" s="14"/>
      <c r="D19" s="14"/>
      <c r="E19" s="14"/>
      <c r="F19" s="18" t="str">
        <f t="shared" si="0"/>
        <v>USERS_LINK</v>
      </c>
      <c r="G19" s="19"/>
      <c r="H19" s="19"/>
    </row>
    <row r="20" ht="45" customHeight="1" spans="1:8">
      <c r="A20" s="17" t="s">
        <v>34</v>
      </c>
      <c r="B20" s="14" t="s">
        <v>35</v>
      </c>
      <c r="C20" s="14"/>
      <c r="D20" s="14"/>
      <c r="E20" s="14"/>
      <c r="F20" s="18" t="str">
        <f t="shared" si="0"/>
        <v>COURSES_LINK</v>
      </c>
      <c r="G20" s="19"/>
      <c r="H20" s="19"/>
    </row>
    <row r="21" ht="60" customHeight="1" spans="1:8">
      <c r="A21" s="17" t="s">
        <v>36</v>
      </c>
      <c r="B21" s="14" t="s">
        <v>37</v>
      </c>
      <c r="C21" s="14"/>
      <c r="D21" s="14"/>
      <c r="E21" s="14"/>
      <c r="F21" s="18" t="str">
        <f t="shared" si="0"/>
        <v>BUILDINGS_LINK</v>
      </c>
      <c r="G21" s="19"/>
      <c r="H21" s="19"/>
    </row>
    <row r="22" ht="59.45" customHeight="1" spans="1:8">
      <c r="A22" s="17" t="s">
        <v>38</v>
      </c>
      <c r="B22" s="14" t="s">
        <v>39</v>
      </c>
      <c r="C22" s="14"/>
      <c r="D22" s="14"/>
      <c r="E22" s="14"/>
      <c r="F22" s="18" t="str">
        <f t="shared" si="0"/>
        <v>CLASSROOMS_LINK</v>
      </c>
      <c r="G22" s="19"/>
      <c r="H22" s="19"/>
    </row>
    <row r="23" ht="54" customHeight="1" spans="1:8">
      <c r="A23" s="17" t="s">
        <v>40</v>
      </c>
      <c r="B23" s="14" t="s">
        <v>41</v>
      </c>
      <c r="C23" s="14"/>
      <c r="D23" s="14"/>
      <c r="E23" s="14"/>
      <c r="F23" s="18" t="str">
        <f t="shared" si="0"/>
        <v>SCHEDULE_LINK</v>
      </c>
      <c r="G23" s="19"/>
      <c r="H23" s="19"/>
    </row>
    <row r="24" ht="97" customHeight="1" spans="1:8">
      <c r="A24" s="17" t="s">
        <v>42</v>
      </c>
      <c r="B24" s="14" t="s">
        <v>43</v>
      </c>
      <c r="C24" s="14"/>
      <c r="D24" s="14"/>
      <c r="E24" s="14"/>
      <c r="F24" s="18" t="str">
        <f t="shared" si="0"/>
        <v>COURSE_CALENDAR_LINK</v>
      </c>
      <c r="G24" s="19"/>
      <c r="H24" s="19"/>
    </row>
    <row r="25" ht="84" customHeight="1" spans="1:8">
      <c r="A25" s="17" t="s">
        <v>44</v>
      </c>
      <c r="B25" s="14" t="s">
        <v>45</v>
      </c>
      <c r="C25" s="14"/>
      <c r="D25" s="14"/>
      <c r="E25" s="14"/>
      <c r="F25" s="18" t="str">
        <f t="shared" ref="F25" si="1">CONCATENATE(A25,"_LINK")</f>
        <v>COURSES_STUDENTS_LINK</v>
      </c>
      <c r="G25" s="19"/>
      <c r="H25" s="19"/>
    </row>
    <row r="26" ht="55.9" customHeight="1" spans="1:8">
      <c r="A26" s="17" t="s">
        <v>46</v>
      </c>
      <c r="B26" s="14" t="s">
        <v>47</v>
      </c>
      <c r="C26" s="14"/>
      <c r="D26" s="14"/>
      <c r="E26" s="14"/>
      <c r="F26" s="18" t="str">
        <f t="shared" si="0"/>
        <v>COURSES_PROGRAMS_LINK</v>
      </c>
      <c r="G26" s="19"/>
      <c r="H26" s="19"/>
    </row>
    <row r="27" ht="75.6" customHeight="1" spans="1:8">
      <c r="A27" s="17" t="s">
        <v>48</v>
      </c>
      <c r="B27" s="14" t="s">
        <v>49</v>
      </c>
      <c r="C27" s="14"/>
      <c r="D27" s="14"/>
      <c r="E27" s="14"/>
      <c r="F27" s="18" t="str">
        <f t="shared" si="0"/>
        <v>PROGRAMS_STUDENTS_LINK</v>
      </c>
      <c r="G27" s="19"/>
      <c r="H27" s="19"/>
    </row>
    <row r="29" ht="18" spans="1:8">
      <c r="A29" s="20" t="s">
        <v>50</v>
      </c>
      <c r="B29" s="20"/>
    </row>
    <row r="30" spans="1:8">
      <c r="A30" s="21"/>
    </row>
    <row r="31" ht="15.6" spans="1:8">
      <c r="A31" s="22" t="s">
        <v>51</v>
      </c>
    </row>
    <row r="32" ht="15.6" spans="1:8">
      <c r="A32" s="22" t="s">
        <v>52</v>
      </c>
    </row>
    <row r="33" ht="15.6" spans="1:1">
      <c r="A33" s="22" t="s">
        <v>53</v>
      </c>
    </row>
    <row r="34" ht="15.6" spans="1:1">
      <c r="A34" s="22" t="s">
        <v>54</v>
      </c>
    </row>
  </sheetData>
  <mergeCells count="41">
    <mergeCell ref="A1:H1"/>
    <mergeCell ref="A2:H2"/>
    <mergeCell ref="B3:H3"/>
    <mergeCell ref="B4:H4"/>
    <mergeCell ref="B5:H5"/>
    <mergeCell ref="B6:H6"/>
    <mergeCell ref="B7:H7"/>
    <mergeCell ref="B8:H8"/>
    <mergeCell ref="A9:H9"/>
    <mergeCell ref="B10:H10"/>
    <mergeCell ref="B11:H11"/>
    <mergeCell ref="B12:H12"/>
    <mergeCell ref="B13:H13"/>
    <mergeCell ref="A14:H14"/>
    <mergeCell ref="B15:E15"/>
    <mergeCell ref="F15:H15"/>
    <mergeCell ref="B16:E16"/>
    <mergeCell ref="F16:H16"/>
    <mergeCell ref="B17:E17"/>
    <mergeCell ref="F17:H17"/>
    <mergeCell ref="B18:E18"/>
    <mergeCell ref="F18:H18"/>
    <mergeCell ref="B19:E19"/>
    <mergeCell ref="F19:H19"/>
    <mergeCell ref="B20:E20"/>
    <mergeCell ref="F20:H20"/>
    <mergeCell ref="B21:E21"/>
    <mergeCell ref="F21:H21"/>
    <mergeCell ref="B22:E22"/>
    <mergeCell ref="F22:H22"/>
    <mergeCell ref="B23:E23"/>
    <mergeCell ref="F23:H23"/>
    <mergeCell ref="B24:E24"/>
    <mergeCell ref="F24:H24"/>
    <mergeCell ref="B25:E25"/>
    <mergeCell ref="F25:H25"/>
    <mergeCell ref="B26:E26"/>
    <mergeCell ref="F26:H26"/>
    <mergeCell ref="B27:E27"/>
    <mergeCell ref="F27:H27"/>
    <mergeCell ref="A29:B29"/>
  </mergeCells>
  <hyperlinks>
    <hyperlink ref="F17:H17" location="PROGRAMS!A1" display="=CONCATENAR(A17;&quot;_LINK&quot;)"/>
    <hyperlink ref="F18:H18" location="ROLES!A1" display="=CONCATENAR(A18;&quot;_LINK&quot;)"/>
    <hyperlink ref="F19:H19" location="USERS!A1" display="=CONCATENAR(A19;&quot;_LINK&quot;)"/>
    <hyperlink ref="F20:H20" location="COURSES!A1" display="=CONCATENAR(A20;&quot;_LINK&quot;)"/>
    <hyperlink ref="F21:H21" location="BUILDINGS!A1" display="=CONCATENAR(A21;&quot;_LINK&quot;)"/>
    <hyperlink ref="F22:H22" location="CLASSROOMS!A1" display="=CONCATENAR(A22;&quot;_LINK&quot;)"/>
    <hyperlink ref="F23:H23" location="SCHEDULE!A1" display="=CONCATENAR(A23;&quot;_LINK&quot;)"/>
    <hyperlink ref="F24:H24" location="COURSE_CALENDAR!A1" display="=CONCATENAR(A24;&quot;_LINK&quot;)"/>
    <hyperlink ref="F26:H26" location="COURSES_PROGRAMS!A1" display="=CONCATENAR(A26;&quot;_LINK&quot;)"/>
    <hyperlink ref="F27:H27" location="PROGRAMS_STUDENTS!A1" display="=CONCATENAR(A27;&quot;_LINK&quot;)"/>
    <hyperlink ref="F25:H25" location="COURSES_STUDENTS!A1" display="=CONCATENAR(A25;&quot;_LINK&quot;)"/>
    <hyperlink ref="F16:H16" location="FACULTIES!A1" display="=CONCATENAR(A16;&quot;_LINK&quot;)"/>
  </hyperlinks>
  <pageMargins left="0.7" right="0.7" top="0.75" bottom="0.75" header="0.3" footer="0.3"/>
  <pageSetup paperSize="1" orientation="portrait" horizontalDpi="1200"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zoomScale="175" zoomScaleNormal="175" workbookViewId="0">
      <selection activeCell="C6" sqref="C6"/>
    </sheetView>
  </sheetViews>
  <sheetFormatPr defaultColWidth="8.85185185185185" defaultRowHeight="14.4" outlineLevelRow="2" outlineLevelCol="4"/>
  <cols>
    <col min="1" max="1" width="13.8518518518519" customWidth="1"/>
    <col min="2" max="2" width="11.712962962963" customWidth="1"/>
    <col min="3" max="3" width="7.85185185185185" customWidth="1"/>
    <col min="4" max="4" width="14.5740740740741" customWidth="1"/>
    <col min="5" max="5" width="32.5740740740741" customWidth="1"/>
  </cols>
  <sheetData>
    <row r="1" spans="1:5">
      <c r="A1" s="1" t="s">
        <v>55</v>
      </c>
      <c r="B1" s="1" t="s">
        <v>56</v>
      </c>
      <c r="C1" s="1" t="s">
        <v>57</v>
      </c>
      <c r="D1" s="1" t="s">
        <v>58</v>
      </c>
      <c r="E1" s="1" t="s">
        <v>2</v>
      </c>
    </row>
    <row r="2" spans="1:5">
      <c r="A2" s="2" t="s">
        <v>59</v>
      </c>
      <c r="B2" s="2" t="s">
        <v>60</v>
      </c>
      <c r="C2" s="2" t="s">
        <v>61</v>
      </c>
      <c r="D2" s="3" t="s">
        <v>62</v>
      </c>
      <c r="E2" s="2" t="s">
        <v>63</v>
      </c>
    </row>
    <row r="3" spans="1:5">
      <c r="A3" s="6" t="s">
        <v>64</v>
      </c>
      <c r="B3" s="6" t="s">
        <v>65</v>
      </c>
      <c r="C3" s="6">
        <v>45</v>
      </c>
      <c r="D3" s="7" t="s">
        <v>66</v>
      </c>
      <c r="E3" s="6" t="s">
        <v>67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4"/>
  <sheetViews>
    <sheetView zoomScale="222" zoomScaleNormal="222" workbookViewId="0">
      <selection activeCell="A4" sqref="A4"/>
    </sheetView>
  </sheetViews>
  <sheetFormatPr defaultColWidth="8.85185185185185" defaultRowHeight="14.4" outlineLevelRow="3" outlineLevelCol="4"/>
  <cols>
    <col min="1" max="1" width="14.1388888888889" customWidth="1"/>
    <col min="2" max="2" width="11.712962962963" customWidth="1"/>
    <col min="3" max="3" width="7.85185185185185" customWidth="1"/>
    <col min="4" max="4" width="10.1388888888889" customWidth="1"/>
    <col min="5" max="5" width="31.712962962963" customWidth="1"/>
  </cols>
  <sheetData>
    <row r="1" spans="1:5">
      <c r="A1" s="1" t="s">
        <v>55</v>
      </c>
      <c r="B1" s="1" t="s">
        <v>56</v>
      </c>
      <c r="C1" s="1" t="s">
        <v>57</v>
      </c>
      <c r="D1" s="1" t="s">
        <v>58</v>
      </c>
      <c r="E1" s="1" t="s">
        <v>2</v>
      </c>
    </row>
    <row r="2" spans="1:5">
      <c r="A2" s="2" t="s">
        <v>59</v>
      </c>
      <c r="B2" s="2" t="s">
        <v>60</v>
      </c>
      <c r="C2" s="2" t="s">
        <v>61</v>
      </c>
      <c r="D2" s="3" t="s">
        <v>62</v>
      </c>
      <c r="E2" s="2" t="s">
        <v>68</v>
      </c>
    </row>
    <row r="3" spans="1:5">
      <c r="A3" s="6" t="s">
        <v>64</v>
      </c>
      <c r="B3" s="6" t="s">
        <v>65</v>
      </c>
      <c r="C3" s="6">
        <v>45</v>
      </c>
      <c r="D3" s="7" t="s">
        <v>66</v>
      </c>
      <c r="E3" s="6" t="s">
        <v>69</v>
      </c>
    </row>
    <row r="4" spans="1:5">
      <c r="A4" s="4" t="s">
        <v>70</v>
      </c>
      <c r="B4" s="4" t="s">
        <v>60</v>
      </c>
      <c r="C4" s="4" t="s">
        <v>61</v>
      </c>
      <c r="D4" s="5" t="s">
        <v>71</v>
      </c>
      <c r="E4" s="4" t="s">
        <v>72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3"/>
  <sheetViews>
    <sheetView zoomScale="171" zoomScaleNormal="171" workbookViewId="0">
      <selection activeCell="A3" sqref="A3"/>
    </sheetView>
  </sheetViews>
  <sheetFormatPr defaultColWidth="8.85185185185185" defaultRowHeight="14.4" outlineLevelRow="2" outlineLevelCol="4"/>
  <cols>
    <col min="1" max="1" width="7" customWidth="1"/>
    <col min="2" max="2" width="11.712962962963" customWidth="1"/>
    <col min="3" max="3" width="7.85185185185185" customWidth="1"/>
    <col min="4" max="4" width="10.1388888888889" customWidth="1"/>
    <col min="5" max="5" width="28" customWidth="1"/>
  </cols>
  <sheetData>
    <row r="1" spans="1:5">
      <c r="A1" s="1" t="s">
        <v>55</v>
      </c>
      <c r="B1" s="1" t="s">
        <v>56</v>
      </c>
      <c r="C1" s="1" t="s">
        <v>57</v>
      </c>
      <c r="D1" s="1" t="s">
        <v>58</v>
      </c>
      <c r="E1" s="1" t="s">
        <v>2</v>
      </c>
    </row>
    <row r="2" spans="1:5">
      <c r="A2" s="2" t="s">
        <v>59</v>
      </c>
      <c r="B2" s="2" t="s">
        <v>60</v>
      </c>
      <c r="C2" s="2" t="s">
        <v>61</v>
      </c>
      <c r="D2" s="3" t="s">
        <v>62</v>
      </c>
      <c r="E2" s="2" t="s">
        <v>73</v>
      </c>
    </row>
    <row r="3" spans="1:5">
      <c r="A3" s="6" t="s">
        <v>64</v>
      </c>
      <c r="B3" s="6" t="s">
        <v>65</v>
      </c>
      <c r="C3" s="6">
        <v>45</v>
      </c>
      <c r="D3" s="7" t="s">
        <v>66</v>
      </c>
      <c r="E3" s="6" t="s">
        <v>74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6"/>
  <sheetViews>
    <sheetView zoomScale="140" zoomScaleNormal="140" workbookViewId="0">
      <selection activeCell="A6" sqref="A6"/>
    </sheetView>
  </sheetViews>
  <sheetFormatPr defaultColWidth="8.85185185185185" defaultRowHeight="14.4" outlineLevelRow="5" outlineLevelCol="4"/>
  <cols>
    <col min="1" max="1" width="20" customWidth="1"/>
    <col min="2" max="2" width="11.712962962963" customWidth="1"/>
    <col min="3" max="3" width="7.85185185185185" customWidth="1"/>
    <col min="4" max="4" width="10.1388888888889" customWidth="1"/>
    <col min="5" max="5" width="44" customWidth="1"/>
  </cols>
  <sheetData>
    <row r="1" spans="1:5">
      <c r="A1" s="1" t="s">
        <v>55</v>
      </c>
      <c r="B1" s="1" t="s">
        <v>56</v>
      </c>
      <c r="C1" s="1" t="s">
        <v>57</v>
      </c>
      <c r="D1" s="1" t="s">
        <v>58</v>
      </c>
      <c r="E1" s="1" t="s">
        <v>2</v>
      </c>
    </row>
    <row r="2" spans="1:5">
      <c r="A2" s="2" t="s">
        <v>59</v>
      </c>
      <c r="B2" s="2" t="s">
        <v>60</v>
      </c>
      <c r="C2" s="2" t="s">
        <v>61</v>
      </c>
      <c r="D2" s="3" t="s">
        <v>60</v>
      </c>
      <c r="E2" s="2" t="s">
        <v>75</v>
      </c>
    </row>
    <row r="3" spans="1:5">
      <c r="A3" s="6" t="s">
        <v>64</v>
      </c>
      <c r="B3" s="6" t="s">
        <v>65</v>
      </c>
      <c r="C3" s="6">
        <v>45</v>
      </c>
      <c r="D3" s="7" t="s">
        <v>66</v>
      </c>
      <c r="E3" s="6" t="s">
        <v>76</v>
      </c>
    </row>
    <row r="4" spans="1:5">
      <c r="A4" s="6" t="s">
        <v>77</v>
      </c>
      <c r="B4" s="6" t="s">
        <v>65</v>
      </c>
      <c r="C4" s="6">
        <v>45</v>
      </c>
      <c r="D4" s="7" t="s">
        <v>66</v>
      </c>
      <c r="E4" s="6" t="s">
        <v>78</v>
      </c>
    </row>
    <row r="5" spans="1:5">
      <c r="A5" s="6" t="s">
        <v>79</v>
      </c>
      <c r="B5" s="6" t="s">
        <v>80</v>
      </c>
      <c r="C5" s="6" t="s">
        <v>61</v>
      </c>
      <c r="D5" s="7" t="s">
        <v>66</v>
      </c>
      <c r="E5" s="6" t="s">
        <v>81</v>
      </c>
    </row>
    <row r="6" spans="1:5">
      <c r="A6" s="4" t="s">
        <v>82</v>
      </c>
      <c r="B6" s="4" t="s">
        <v>60</v>
      </c>
      <c r="C6" s="4" t="s">
        <v>61</v>
      </c>
      <c r="D6" s="5" t="s">
        <v>71</v>
      </c>
      <c r="E6" s="4" t="s">
        <v>83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4"/>
  <sheetViews>
    <sheetView zoomScale="168" zoomScaleNormal="168" workbookViewId="0">
      <selection activeCell="D15" sqref="D15"/>
    </sheetView>
  </sheetViews>
  <sheetFormatPr defaultColWidth="8.85185185185185" defaultRowHeight="14.4" outlineLevelRow="3" outlineLevelCol="4"/>
  <cols>
    <col min="1" max="1" width="18.4259259259259" customWidth="1"/>
    <col min="2" max="2" width="11.712962962963" customWidth="1"/>
    <col min="3" max="3" width="7.85185185185185" customWidth="1"/>
    <col min="4" max="4" width="10.1388888888889" customWidth="1"/>
    <col min="5" max="5" width="40.0092592592593" customWidth="1"/>
  </cols>
  <sheetData>
    <row r="1" spans="1:5">
      <c r="A1" s="1" t="s">
        <v>55</v>
      </c>
      <c r="B1" s="1" t="s">
        <v>56</v>
      </c>
      <c r="C1" s="1" t="s">
        <v>57</v>
      </c>
      <c r="D1" s="1" t="s">
        <v>58</v>
      </c>
      <c r="E1" s="1" t="s">
        <v>2</v>
      </c>
    </row>
    <row r="2" spans="1:5">
      <c r="A2" s="2" t="s">
        <v>59</v>
      </c>
      <c r="B2" s="2" t="s">
        <v>60</v>
      </c>
      <c r="C2" s="2" t="s">
        <v>61</v>
      </c>
      <c r="D2" s="3" t="s">
        <v>60</v>
      </c>
      <c r="E2" s="2" t="s">
        <v>84</v>
      </c>
    </row>
    <row r="3" spans="1:5">
      <c r="A3" s="6" t="s">
        <v>64</v>
      </c>
      <c r="B3" s="6" t="s">
        <v>65</v>
      </c>
      <c r="C3" s="6">
        <v>45</v>
      </c>
      <c r="D3" s="7" t="s">
        <v>66</v>
      </c>
      <c r="E3" s="6" t="s">
        <v>85</v>
      </c>
    </row>
    <row r="4" ht="23" customHeight="1" spans="1:5">
      <c r="A4" s="4" t="s">
        <v>70</v>
      </c>
      <c r="B4" s="4" t="s">
        <v>60</v>
      </c>
      <c r="C4" s="4" t="s">
        <v>61</v>
      </c>
      <c r="D4" s="5" t="s">
        <v>71</v>
      </c>
      <c r="E4" s="4" t="s">
        <v>86</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4"/>
  <sheetViews>
    <sheetView tabSelected="1" zoomScale="176" zoomScaleNormal="176" workbookViewId="0">
      <selection activeCell="C15" sqref="C15"/>
    </sheetView>
  </sheetViews>
  <sheetFormatPr defaultColWidth="8.85185185185185" defaultRowHeight="14.4" outlineLevelRow="3" outlineLevelCol="4"/>
  <cols>
    <col min="1" max="1" width="9.71296296296296" customWidth="1"/>
    <col min="2" max="2" width="11.712962962963" customWidth="1"/>
    <col min="3" max="3" width="7.85185185185185" customWidth="1"/>
    <col min="4" max="4" width="10.1388888888889" customWidth="1"/>
    <col min="5" max="5" width="44.4259259259259" customWidth="1"/>
  </cols>
  <sheetData>
    <row r="1" spans="1:5">
      <c r="A1" s="1" t="s">
        <v>55</v>
      </c>
      <c r="B1" s="1" t="s">
        <v>56</v>
      </c>
      <c r="C1" s="1" t="s">
        <v>57</v>
      </c>
      <c r="D1" s="1" t="s">
        <v>58</v>
      </c>
      <c r="E1" s="1" t="s">
        <v>2</v>
      </c>
    </row>
    <row r="2" spans="1:5">
      <c r="A2" s="2" t="s">
        <v>59</v>
      </c>
      <c r="B2" s="2" t="s">
        <v>60</v>
      </c>
      <c r="C2" s="2" t="s">
        <v>61</v>
      </c>
      <c r="D2" s="3" t="s">
        <v>62</v>
      </c>
      <c r="E2" s="2" t="s">
        <v>87</v>
      </c>
    </row>
    <row r="3" spans="1:5">
      <c r="A3" s="6" t="s">
        <v>64</v>
      </c>
      <c r="B3" s="6" t="s">
        <v>65</v>
      </c>
      <c r="C3" s="6">
        <v>45</v>
      </c>
      <c r="D3" s="7" t="s">
        <v>66</v>
      </c>
      <c r="E3" s="6" t="s">
        <v>88</v>
      </c>
    </row>
    <row r="4" spans="1:5">
      <c r="E4" s="8"/>
    </row>
  </sheetData>
  <pageMargins left="0.7" right="0.7" top="0.75" bottom="0.75" header="0.3" footer="0.3"/>
  <pageSetup paperSize="1" orientation="portrait" horizontalDpi="1200" verticalDpi="12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4"/>
  <sheetViews>
    <sheetView zoomScale="162" zoomScaleNormal="162" workbookViewId="0">
      <selection activeCell="E4" sqref="E4"/>
    </sheetView>
  </sheetViews>
  <sheetFormatPr defaultColWidth="8.85185185185185" defaultRowHeight="14.4" outlineLevelRow="3" outlineLevelCol="4"/>
  <cols>
    <col min="1" max="1" width="9.85185185185185" customWidth="1"/>
    <col min="2" max="2" width="11.712962962963" customWidth="1"/>
    <col min="3" max="3" width="7.85185185185185" customWidth="1"/>
    <col min="4" max="4" width="10.287037037037" customWidth="1"/>
    <col min="5" max="5" width="41.212962962963" customWidth="1"/>
  </cols>
  <sheetData>
    <row r="1" spans="1:5">
      <c r="A1" s="1" t="s">
        <v>55</v>
      </c>
      <c r="B1" s="1" t="s">
        <v>56</v>
      </c>
      <c r="C1" s="1" t="s">
        <v>57</v>
      </c>
      <c r="D1" s="1" t="s">
        <v>58</v>
      </c>
      <c r="E1" s="1" t="s">
        <v>2</v>
      </c>
    </row>
    <row r="2" spans="1:5">
      <c r="A2" s="2" t="s">
        <v>59</v>
      </c>
      <c r="B2" s="2" t="s">
        <v>60</v>
      </c>
      <c r="C2" s="2" t="s">
        <v>61</v>
      </c>
      <c r="D2" s="3" t="s">
        <v>62</v>
      </c>
      <c r="E2" s="2" t="s">
        <v>89</v>
      </c>
    </row>
    <row r="3" spans="1:5">
      <c r="A3" s="6" t="s">
        <v>64</v>
      </c>
      <c r="B3" s="6" t="s">
        <v>65</v>
      </c>
      <c r="C3" s="6">
        <v>45</v>
      </c>
      <c r="D3" s="7" t="s">
        <v>66</v>
      </c>
      <c r="E3" s="6" t="s">
        <v>90</v>
      </c>
    </row>
    <row r="4" spans="1:5">
      <c r="A4" s="4" t="s">
        <v>91</v>
      </c>
      <c r="B4" s="4" t="s">
        <v>60</v>
      </c>
      <c r="C4" s="4" t="s">
        <v>61</v>
      </c>
      <c r="D4" s="5" t="s">
        <v>71</v>
      </c>
      <c r="E4" s="4" t="s">
        <v>92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5"/>
  <sheetViews>
    <sheetView zoomScale="233" zoomScaleNormal="233" workbookViewId="0">
      <selection activeCell="C3" sqref="C3"/>
    </sheetView>
  </sheetViews>
  <sheetFormatPr defaultColWidth="8.85185185185185" defaultRowHeight="14.4" outlineLevelRow="4" outlineLevelCol="4"/>
  <cols>
    <col min="1" max="1" width="10.2962962962963" customWidth="1"/>
    <col min="2" max="2" width="11.712962962963" customWidth="1"/>
    <col min="3" max="3" width="7.85185185185185" customWidth="1"/>
    <col min="4" max="4" width="10.1388888888889" customWidth="1"/>
    <col min="5" max="5" width="24.5740740740741" customWidth="1"/>
  </cols>
  <sheetData>
    <row r="1" spans="1:5">
      <c r="A1" s="1" t="s">
        <v>55</v>
      </c>
      <c r="B1" s="1" t="s">
        <v>56</v>
      </c>
      <c r="C1" s="1" t="s">
        <v>57</v>
      </c>
      <c r="D1" s="1" t="s">
        <v>58</v>
      </c>
      <c r="E1" s="1" t="s">
        <v>2</v>
      </c>
    </row>
    <row r="2" spans="1:5">
      <c r="A2" s="2" t="s">
        <v>59</v>
      </c>
      <c r="B2" s="2" t="s">
        <v>60</v>
      </c>
      <c r="C2" s="3" t="s">
        <v>61</v>
      </c>
      <c r="D2" s="3" t="s">
        <v>62</v>
      </c>
      <c r="E2" s="2" t="s">
        <v>93</v>
      </c>
    </row>
    <row r="3" spans="1:5">
      <c r="A3" s="6" t="s">
        <v>94</v>
      </c>
      <c r="B3" s="6" t="s">
        <v>65</v>
      </c>
      <c r="C3" s="6">
        <v>45</v>
      </c>
      <c r="D3" s="7" t="s">
        <v>66</v>
      </c>
      <c r="E3" s="6" t="s">
        <v>95</v>
      </c>
    </row>
    <row r="4" spans="1:5">
      <c r="A4" s="6" t="s">
        <v>96</v>
      </c>
      <c r="B4" s="6" t="s">
        <v>65</v>
      </c>
      <c r="C4" s="6">
        <v>45</v>
      </c>
      <c r="D4" s="7" t="s">
        <v>66</v>
      </c>
      <c r="E4" s="6" t="s">
        <v>97</v>
      </c>
    </row>
    <row r="5" spans="1:5">
      <c r="A5" s="6" t="s">
        <v>98</v>
      </c>
      <c r="B5" s="6" t="s">
        <v>65</v>
      </c>
      <c r="C5" s="6">
        <v>45</v>
      </c>
      <c r="D5" s="7" t="s">
        <v>66</v>
      </c>
      <c r="E5" s="6" t="s">
        <v>99</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6"/>
  <sheetViews>
    <sheetView zoomScale="146" zoomScaleNormal="146" workbookViewId="0">
      <selection activeCell="I7" sqref="I7"/>
    </sheetView>
  </sheetViews>
  <sheetFormatPr defaultColWidth="8.85185185185185" defaultRowHeight="14.4" outlineLevelRow="5" outlineLevelCol="4"/>
  <cols>
    <col min="1" max="1" width="15.1481481481481" customWidth="1"/>
    <col min="2" max="2" width="11.712962962963" customWidth="1"/>
    <col min="3" max="3" width="7.85185185185185" customWidth="1"/>
    <col min="4" max="4" width="10.1388888888889" customWidth="1"/>
    <col min="5" max="5" width="53.8796296296296" customWidth="1"/>
  </cols>
  <sheetData>
    <row r="1" spans="1:5">
      <c r="A1" s="1" t="s">
        <v>55</v>
      </c>
      <c r="B1" s="1" t="s">
        <v>56</v>
      </c>
      <c r="C1" s="1" t="s">
        <v>57</v>
      </c>
      <c r="D1" s="1" t="s">
        <v>58</v>
      </c>
      <c r="E1" s="1" t="s">
        <v>2</v>
      </c>
    </row>
    <row r="2" spans="1:5">
      <c r="A2" s="2" t="s">
        <v>59</v>
      </c>
      <c r="B2" s="2" t="s">
        <v>60</v>
      </c>
      <c r="C2" s="3" t="s">
        <v>61</v>
      </c>
      <c r="D2" s="3" t="s">
        <v>62</v>
      </c>
      <c r="E2" s="2" t="s">
        <v>100</v>
      </c>
    </row>
    <row r="3" spans="1:5">
      <c r="A3" s="6" t="s">
        <v>101</v>
      </c>
      <c r="B3" s="6" t="s">
        <v>80</v>
      </c>
      <c r="C3" s="7" t="s">
        <v>61</v>
      </c>
      <c r="D3" s="7" t="s">
        <v>66</v>
      </c>
      <c r="E3" s="6" t="s">
        <v>102</v>
      </c>
    </row>
    <row r="4" spans="1:5">
      <c r="A4" s="4" t="s">
        <v>103</v>
      </c>
      <c r="B4" s="4" t="s">
        <v>60</v>
      </c>
      <c r="C4" s="4" t="s">
        <v>61</v>
      </c>
      <c r="D4" s="5" t="s">
        <v>71</v>
      </c>
      <c r="E4" s="4" t="s">
        <v>104</v>
      </c>
    </row>
    <row r="5" spans="1:5">
      <c r="A5" s="4" t="s">
        <v>105</v>
      </c>
      <c r="B5" s="4" t="s">
        <v>60</v>
      </c>
      <c r="C5" s="4" t="s">
        <v>61</v>
      </c>
      <c r="D5" s="5" t="s">
        <v>71</v>
      </c>
      <c r="E5" s="4" t="s">
        <v>106</v>
      </c>
    </row>
    <row r="6" spans="1:5">
      <c r="A6" s="4" t="s">
        <v>107</v>
      </c>
      <c r="B6" s="4" t="s">
        <v>60</v>
      </c>
      <c r="C6" s="4" t="s">
        <v>61</v>
      </c>
      <c r="D6" s="5" t="s">
        <v>71</v>
      </c>
      <c r="E6" s="4" t="s">
        <v>108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4"/>
  <sheetViews>
    <sheetView zoomScale="135" zoomScaleNormal="135" workbookViewId="0">
      <selection activeCell="C4" sqref="C4"/>
    </sheetView>
  </sheetViews>
  <sheetFormatPr defaultColWidth="8.85185185185185" defaultRowHeight="14.4" outlineLevelRow="3" outlineLevelCol="4"/>
  <cols>
    <col min="1" max="1" width="16.4537037037037" customWidth="1"/>
    <col min="2" max="2" width="11.712962962963" customWidth="1"/>
    <col min="3" max="3" width="7.85185185185185" customWidth="1"/>
    <col min="4" max="4" width="10.1388888888889" customWidth="1"/>
    <col min="5" max="5" width="53" customWidth="1"/>
  </cols>
  <sheetData>
    <row r="1" spans="1:5">
      <c r="A1" s="1" t="s">
        <v>55</v>
      </c>
      <c r="B1" s="1" t="s">
        <v>56</v>
      </c>
      <c r="C1" s="1" t="s">
        <v>57</v>
      </c>
      <c r="D1" s="1" t="s">
        <v>58</v>
      </c>
      <c r="E1" s="1" t="s">
        <v>2</v>
      </c>
    </row>
    <row r="2" spans="1:5">
      <c r="A2" s="2" t="s">
        <v>59</v>
      </c>
      <c r="B2" s="2" t="s">
        <v>60</v>
      </c>
      <c r="C2" s="3" t="s">
        <v>61</v>
      </c>
      <c r="D2" s="3" t="s">
        <v>62</v>
      </c>
      <c r="E2" s="2" t="s">
        <v>109</v>
      </c>
    </row>
    <row r="3" spans="1:5">
      <c r="A3" s="4" t="s">
        <v>110</v>
      </c>
      <c r="B3" s="4" t="s">
        <v>60</v>
      </c>
      <c r="C3" s="4" t="s">
        <v>61</v>
      </c>
      <c r="D3" s="5" t="s">
        <v>71</v>
      </c>
      <c r="E3" s="4" t="s">
        <v>111</v>
      </c>
    </row>
    <row r="4" spans="1:5">
      <c r="A4" s="4" t="s">
        <v>112</v>
      </c>
      <c r="B4" s="4" t="s">
        <v>60</v>
      </c>
      <c r="C4" s="4" t="s">
        <v>61</v>
      </c>
      <c r="D4" s="5" t="s">
        <v>71</v>
      </c>
      <c r="E4" s="4" t="s">
        <v>113</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5"/>
  <sheetViews>
    <sheetView zoomScale="135" zoomScaleNormal="135" workbookViewId="0">
      <selection activeCell="E3" sqref="E3"/>
    </sheetView>
  </sheetViews>
  <sheetFormatPr defaultColWidth="8.85185185185185" defaultRowHeight="14.4" outlineLevelRow="4" outlineLevelCol="4"/>
  <cols>
    <col min="1" max="1" width="14.712962962963" customWidth="1"/>
    <col min="2" max="2" width="11.712962962963" customWidth="1"/>
    <col min="3" max="3" width="7.85185185185185" customWidth="1"/>
    <col min="4" max="4" width="10.1388888888889" customWidth="1"/>
    <col min="5" max="5" width="54.2407407407407" customWidth="1"/>
  </cols>
  <sheetData>
    <row r="1" spans="1:5">
      <c r="A1" s="1" t="s">
        <v>55</v>
      </c>
      <c r="B1" s="1" t="s">
        <v>56</v>
      </c>
      <c r="C1" s="1" t="s">
        <v>57</v>
      </c>
      <c r="D1" s="1" t="s">
        <v>58</v>
      </c>
      <c r="E1" s="1" t="s">
        <v>2</v>
      </c>
    </row>
    <row r="2" spans="1:5">
      <c r="A2" s="2" t="s">
        <v>59</v>
      </c>
      <c r="B2" s="2" t="s">
        <v>60</v>
      </c>
      <c r="C2" s="3" t="s">
        <v>61</v>
      </c>
      <c r="D2" s="3" t="s">
        <v>62</v>
      </c>
      <c r="E2" s="2" t="s">
        <v>114</v>
      </c>
    </row>
    <row r="3" ht="13.9" customHeight="1" spans="1:5">
      <c r="A3" s="6" t="s">
        <v>79</v>
      </c>
      <c r="B3" s="6" t="s">
        <v>80</v>
      </c>
      <c r="C3" s="6" t="s">
        <v>61</v>
      </c>
      <c r="D3" s="7" t="s">
        <v>66</v>
      </c>
      <c r="E3" s="6" t="s">
        <v>115</v>
      </c>
    </row>
    <row r="4" spans="1:5">
      <c r="A4" s="4" t="s">
        <v>105</v>
      </c>
      <c r="B4" s="4" t="s">
        <v>60</v>
      </c>
      <c r="C4" s="4" t="s">
        <v>61</v>
      </c>
      <c r="D4" s="5" t="s">
        <v>71</v>
      </c>
      <c r="E4" s="4" t="s">
        <v>116</v>
      </c>
    </row>
    <row r="5" spans="1:5">
      <c r="A5" s="4" t="s">
        <v>117</v>
      </c>
      <c r="B5" s="4" t="s">
        <v>60</v>
      </c>
      <c r="C5" s="4" t="s">
        <v>61</v>
      </c>
      <c r="D5" s="5" t="s">
        <v>71</v>
      </c>
      <c r="E5" s="4" t="s">
        <v>118</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4"/>
  <sheetViews>
    <sheetView zoomScale="127" zoomScaleNormal="127" workbookViewId="0">
      <selection activeCell="E13" sqref="E13"/>
    </sheetView>
  </sheetViews>
  <sheetFormatPr defaultColWidth="8.85185185185185" defaultRowHeight="14.4" outlineLevelRow="3" outlineLevelCol="4"/>
  <cols>
    <col min="1" max="2" width="26.712962962963" customWidth="1"/>
    <col min="3" max="3" width="15.6481481481481" customWidth="1"/>
    <col min="4" max="4" width="20.6388888888889" customWidth="1"/>
    <col min="5" max="5" width="52" customWidth="1"/>
  </cols>
  <sheetData>
    <row r="1" spans="1:5">
      <c r="A1" s="1" t="s">
        <v>55</v>
      </c>
      <c r="B1" s="1" t="s">
        <v>56</v>
      </c>
      <c r="C1" s="1" t="s">
        <v>57</v>
      </c>
      <c r="D1" s="1" t="s">
        <v>58</v>
      </c>
      <c r="E1" s="1" t="s">
        <v>2</v>
      </c>
    </row>
    <row r="2" spans="1:5">
      <c r="A2" s="2" t="s">
        <v>59</v>
      </c>
      <c r="B2" s="2" t="s">
        <v>60</v>
      </c>
      <c r="C2" s="2" t="s">
        <v>61</v>
      </c>
      <c r="D2" s="3" t="s">
        <v>62</v>
      </c>
      <c r="E2" s="2" t="s">
        <v>119</v>
      </c>
    </row>
    <row r="3" spans="1:5">
      <c r="A3" s="4" t="s">
        <v>117</v>
      </c>
      <c r="B3" s="4" t="s">
        <v>60</v>
      </c>
      <c r="C3" s="4" t="s">
        <v>61</v>
      </c>
      <c r="D3" s="5" t="s">
        <v>71</v>
      </c>
      <c r="E3" s="4" t="s">
        <v>118</v>
      </c>
    </row>
    <row r="4" spans="1:5">
      <c r="A4" s="4" t="s">
        <v>112</v>
      </c>
      <c r="B4" s="4" t="s">
        <v>60</v>
      </c>
      <c r="C4" s="4" t="s">
        <v>61</v>
      </c>
      <c r="D4" s="5" t="s">
        <v>71</v>
      </c>
      <c r="E4" s="4" t="s">
        <v>120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13</vt:i4>
      </vt:variant>
    </vt:vector>
  </HeadingPairs>
  <TitlesOfParts>
    <vt:vector size="13" baseType="lpstr">
      <vt:lpstr>DATA DICTIONARY</vt:lpstr>
      <vt:lpstr>FACULTIES</vt:lpstr>
      <vt:lpstr>PROGRAMS</vt:lpstr>
      <vt:lpstr>ROLES</vt:lpstr>
      <vt:lpstr>USERS</vt:lpstr>
      <vt:lpstr>COURSES</vt:lpstr>
      <vt:lpstr>BUILDINGS</vt:lpstr>
      <vt:lpstr>CLASSROOMS</vt:lpstr>
      <vt:lpstr>SCHEDULE</vt:lpstr>
      <vt:lpstr>COURSE_CALENDAR</vt:lpstr>
      <vt:lpstr>COURSES_STUDENTS</vt:lpstr>
      <vt:lpstr>COURSES_PROGRAMS</vt:lpstr>
      <vt:lpstr>PROGRAMS_STUDENTS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Usuario</cp:lastModifiedBy>
  <dcterms:created xsi:type="dcterms:W3CDTF">2024-10-25T23:23:00Z</dcterms:created>
  <dcterms:modified xsi:type="dcterms:W3CDTF">2026-05-12T03:09:05Z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3082-12.1.0.25862</vt:lpwstr>
  </property>
  <property fmtid="{D5CDD505-2E9C-101B-9397-08002B2CF9AE}" pid="3" name="CalculationRule">
    <vt:i4>0</vt:i4>
  </property>
  <property fmtid="{D5CDD505-2E9C-101B-9397-08002B2CF9AE}" pid="4" name="ICV">
    <vt:lpwstr>108DBBD2B8E143C6BB5AD6C400689320_13</vt:lpwstr>
  </property>
</Properties>
</file>